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 showInkAnnotation="0"/>
  <mc:AlternateContent xmlns:mc="http://schemas.openxmlformats.org/markup-compatibility/2006">
    <mc:Choice Requires="x15">
      <x15ac:absPath xmlns:x15ac="http://schemas.microsoft.com/office/spreadsheetml/2010/11/ac" url="/Users/lsshen/Library/CloudStorage/Dropbox/Shared/Research/Working Projects/Ulrike Malmendier/Consumption Experience/Replication/Figures/"/>
    </mc:Choice>
  </mc:AlternateContent>
  <xr:revisionPtr revIDLastSave="0" documentId="13_ncr:1_{22274F88-1BA6-9442-95DB-5C79FB446C33}" xr6:coauthVersionLast="47" xr6:coauthVersionMax="47" xr10:uidLastSave="{00000000-0000-0000-0000-000000000000}"/>
  <bookViews>
    <workbookView xWindow="1100" yWindow="2460" windowWidth="26800" windowHeight="15540" tabRatio="500" xr2:uid="{00000000-000D-0000-FFFF-FFFF00000000}"/>
  </bookViews>
  <sheets>
    <sheet name="new" sheetId="6" r:id="rId1"/>
  </sheets>
  <definedNames>
    <definedName name="_xlnm.Print_Area" localSheetId="0">new!$C$14:$L$52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12" i="6" l="1"/>
  <c r="AE11" i="6"/>
  <c r="AD12" i="6"/>
  <c r="AD11" i="6"/>
  <c r="Z12" i="6"/>
  <c r="Z11" i="6"/>
  <c r="AA12" i="6"/>
  <c r="AA11" i="6"/>
  <c r="W11" i="6"/>
  <c r="W12" i="6"/>
  <c r="V12" i="6"/>
  <c r="V11" i="6"/>
  <c r="S12" i="6"/>
  <c r="S11" i="6"/>
  <c r="R12" i="6"/>
  <c r="R11" i="6"/>
  <c r="O12" i="6"/>
  <c r="O11" i="6"/>
  <c r="N12" i="6"/>
  <c r="N11" i="6"/>
  <c r="K12" i="6"/>
  <c r="K11" i="6"/>
  <c r="J11" i="6"/>
  <c r="J12" i="6"/>
  <c r="F12" i="6"/>
  <c r="F11" i="6"/>
  <c r="G12" i="6"/>
  <c r="G11" i="6"/>
  <c r="B12" i="6"/>
  <c r="B11" i="6"/>
  <c r="C12" i="6"/>
  <c r="C11" i="6"/>
</calcChain>
</file>

<file path=xl/sharedStrings.xml><?xml version="1.0" encoding="utf-8"?>
<sst xmlns="http://schemas.openxmlformats.org/spreadsheetml/2006/main" count="66" uniqueCount="14">
  <si>
    <t>coeff</t>
  </si>
  <si>
    <t>ci</t>
  </si>
  <si>
    <t>macro</t>
  </si>
  <si>
    <t>personal</t>
  </si>
  <si>
    <t>Robustness 1</t>
  </si>
  <si>
    <t>Wealth</t>
  </si>
  <si>
    <t>Total consumption</t>
  </si>
  <si>
    <t>Robustness 2</t>
  </si>
  <si>
    <t>Robustness 3</t>
  </si>
  <si>
    <t>Robustness 4</t>
  </si>
  <si>
    <t>Income</t>
  </si>
  <si>
    <t>1 SD</t>
  </si>
  <si>
    <t>coeff std</t>
  </si>
  <si>
    <t>ci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</si>
</sst>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32225604387315"/>
          <c:y val="0.11678958785249458"/>
          <c:w val="0.68177819465356804"/>
          <c:h val="0.83509761388286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new!$B$12:$C$12</c:f>
                <c:numCache>
                  <c:formatCode>General</c:formatCode>
                  <c:ptCount val="2"/>
                  <c:pt idx="0">
                    <c:v>6.3201599999999991E-3</c:v>
                  </c:pt>
                  <c:pt idx="1">
                    <c:v>8.6129999999999974E-3</c:v>
                  </c:pt>
                </c:numCache>
              </c:numRef>
            </c:plus>
            <c:minus>
              <c:numRef>
                <c:f>new!$B$12:$C$12</c:f>
                <c:numCache>
                  <c:formatCode>General</c:formatCode>
                  <c:ptCount val="2"/>
                  <c:pt idx="0">
                    <c:v>6.3201599999999991E-3</c:v>
                  </c:pt>
                  <c:pt idx="1">
                    <c:v>8.6129999999999974E-3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new!$B$10:$C$10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new!$B$11:$C$11</c:f>
              <c:numCache>
                <c:formatCode>General</c:formatCode>
                <c:ptCount val="2"/>
                <c:pt idx="0">
                  <c:v>-9.1728000000000001E-3</c:v>
                </c:pt>
                <c:pt idx="1">
                  <c:v>-1.566E-2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B-0047-8412-2FA5C585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47546416"/>
        <c:axId val="-2055240224"/>
      </c:barChart>
      <c:catAx>
        <c:axId val="-20475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55240224"/>
        <c:crosses val="autoZero"/>
        <c:auto val="1"/>
        <c:lblAlgn val="ctr"/>
        <c:lblOffset val="100"/>
        <c:noMultiLvlLbl val="0"/>
      </c:catAx>
      <c:valAx>
        <c:axId val="-2055240224"/>
        <c:scaling>
          <c:orientation val="minMax"/>
          <c:max val="1.0000000000000002E-2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47546416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new!$F$12:$G$12</c:f>
                <c:numCache>
                  <c:formatCode>General</c:formatCode>
                  <c:ptCount val="2"/>
                  <c:pt idx="0">
                    <c:v>6.0983999999999995E-3</c:v>
                  </c:pt>
                  <c:pt idx="1">
                    <c:v>8.6129999999999974E-3</c:v>
                  </c:pt>
                </c:numCache>
              </c:numRef>
            </c:plus>
            <c:minus>
              <c:numRef>
                <c:f>new!$F$12:$G$12</c:f>
                <c:numCache>
                  <c:formatCode>General</c:formatCode>
                  <c:ptCount val="2"/>
                  <c:pt idx="0">
                    <c:v>6.0983999999999995E-3</c:v>
                  </c:pt>
                  <c:pt idx="1">
                    <c:v>8.6129999999999974E-3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new!$F$10:$G$10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new!$F$11:$G$11</c:f>
              <c:numCache>
                <c:formatCode>General</c:formatCode>
                <c:ptCount val="2"/>
                <c:pt idx="0">
                  <c:v>-8.5679999999999992E-3</c:v>
                </c:pt>
                <c:pt idx="1">
                  <c:v>-1.5079999999999998E-2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E-884C-82A4-1CCB9F851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93489728"/>
        <c:axId val="-2135901680"/>
      </c:barChart>
      <c:catAx>
        <c:axId val="-209348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135901680"/>
        <c:crosses val="autoZero"/>
        <c:auto val="1"/>
        <c:lblAlgn val="ctr"/>
        <c:lblOffset val="100"/>
        <c:noMultiLvlLbl val="0"/>
      </c:catAx>
      <c:valAx>
        <c:axId val="-2135901680"/>
        <c:scaling>
          <c:orientation val="minMax"/>
          <c:max val="1.0000000000000002E-2"/>
          <c:min val="-3.000000000000000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-2093489728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new!$J$12:$K$12</c:f>
                <c:numCache>
                  <c:formatCode>General</c:formatCode>
                  <c:ptCount val="2"/>
                  <c:pt idx="0">
                    <c:v>6.3201599999999991E-3</c:v>
                  </c:pt>
                  <c:pt idx="1">
                    <c:v>8.6129999999999974E-3</c:v>
                  </c:pt>
                </c:numCache>
              </c:numRef>
            </c:plus>
            <c:minus>
              <c:numRef>
                <c:f>new!$J$12:$K$12</c:f>
                <c:numCache>
                  <c:formatCode>General</c:formatCode>
                  <c:ptCount val="2"/>
                  <c:pt idx="0">
                    <c:v>6.3201599999999991E-3</c:v>
                  </c:pt>
                  <c:pt idx="1">
                    <c:v>8.6129999999999974E-3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new!$J$10:$K$10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new!$J$11:$K$11</c:f>
              <c:numCache>
                <c:formatCode>General</c:formatCode>
                <c:ptCount val="2"/>
                <c:pt idx="0">
                  <c:v>-9.2064E-3</c:v>
                </c:pt>
                <c:pt idx="1">
                  <c:v>-1.6239999999999997E-2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A-4542-AEF5-AB1027F08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100027424"/>
        <c:axId val="-2060387472"/>
      </c:barChart>
      <c:catAx>
        <c:axId val="-210002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60387472"/>
        <c:crosses val="autoZero"/>
        <c:auto val="1"/>
        <c:lblAlgn val="ctr"/>
        <c:lblOffset val="100"/>
        <c:noMultiLvlLbl val="0"/>
      </c:catAx>
      <c:valAx>
        <c:axId val="-2060387472"/>
        <c:scaling>
          <c:orientation val="minMax"/>
          <c:max val="1.0000000000000002E-2"/>
          <c:min val="-3.000000000000000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-210002742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new!$N$12:$O$12</c:f>
                <c:numCache>
                  <c:formatCode>General</c:formatCode>
                  <c:ptCount val="2"/>
                  <c:pt idx="0">
                    <c:v>5.3776799999999993E-3</c:v>
                  </c:pt>
                  <c:pt idx="1">
                    <c:v>9.0914999999999989E-3</c:v>
                  </c:pt>
                </c:numCache>
              </c:numRef>
            </c:plus>
            <c:minus>
              <c:numRef>
                <c:f>new!$N$12:$O$12</c:f>
                <c:numCache>
                  <c:formatCode>General</c:formatCode>
                  <c:ptCount val="2"/>
                  <c:pt idx="0">
                    <c:v>5.3776799999999993E-3</c:v>
                  </c:pt>
                  <c:pt idx="1">
                    <c:v>9.0914999999999989E-3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new!$N$10:$O$10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new!$N$11:$O$11</c:f>
              <c:numCache>
                <c:formatCode>General</c:formatCode>
                <c:ptCount val="2"/>
                <c:pt idx="0">
                  <c:v>-5.5776000000000003E-3</c:v>
                </c:pt>
                <c:pt idx="1">
                  <c:v>-1.392E-2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0-2341-8A85-A0D3CA302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47618272"/>
        <c:axId val="2120169200"/>
      </c:barChart>
      <c:catAx>
        <c:axId val="-20476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2120169200"/>
        <c:crosses val="autoZero"/>
        <c:auto val="1"/>
        <c:lblAlgn val="ctr"/>
        <c:lblOffset val="100"/>
        <c:noMultiLvlLbl val="0"/>
      </c:catAx>
      <c:valAx>
        <c:axId val="2120169200"/>
        <c:scaling>
          <c:orientation val="minMax"/>
          <c:max val="1.0000000000000002E-2"/>
          <c:min val="-3.000000000000000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-204761827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32225604387315"/>
          <c:y val="0.11678958785249458"/>
          <c:w val="0.68177819465356804"/>
          <c:h val="0.8350976138828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new!$Q$11</c:f>
              <c:strCache>
                <c:ptCount val="1"/>
                <c:pt idx="0">
                  <c:v>coeff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new!$R$12:$S$12</c:f>
                <c:numCache>
                  <c:formatCode>General</c:formatCode>
                  <c:ptCount val="2"/>
                  <c:pt idx="0">
                    <c:v>7.0963200000000006E-3</c:v>
                  </c:pt>
                  <c:pt idx="1">
                    <c:v>9.5699999999999986E-3</c:v>
                  </c:pt>
                </c:numCache>
              </c:numRef>
            </c:plus>
            <c:minus>
              <c:numRef>
                <c:f>new!$R$12:$S$12</c:f>
                <c:numCache>
                  <c:formatCode>General</c:formatCode>
                  <c:ptCount val="2"/>
                  <c:pt idx="0">
                    <c:v>7.0963200000000006E-3</c:v>
                  </c:pt>
                  <c:pt idx="1">
                    <c:v>9.5699999999999986E-3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new!$R$10:$S$10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new!$R$11:$S$11</c:f>
              <c:numCache>
                <c:formatCode>General</c:formatCode>
                <c:ptCount val="2"/>
                <c:pt idx="0">
                  <c:v>-8.9376000000000004E-3</c:v>
                </c:pt>
                <c:pt idx="1">
                  <c:v>-1.5369999999999998E-2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D-DE47-B276-9276D954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47546416"/>
        <c:axId val="-2055240224"/>
      </c:barChart>
      <c:catAx>
        <c:axId val="-20475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55240224"/>
        <c:crosses val="autoZero"/>
        <c:auto val="1"/>
        <c:lblAlgn val="ctr"/>
        <c:lblOffset val="100"/>
        <c:noMultiLvlLbl val="0"/>
      </c:catAx>
      <c:valAx>
        <c:axId val="-2055240224"/>
        <c:scaling>
          <c:orientation val="minMax"/>
          <c:max val="1.0000000000000002E-2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47546416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new!$U$11</c:f>
              <c:strCache>
                <c:ptCount val="1"/>
                <c:pt idx="0">
                  <c:v>coeff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new!$V$12:$W$12</c:f>
                <c:numCache>
                  <c:formatCode>General</c:formatCode>
                  <c:ptCount val="2"/>
                  <c:pt idx="0">
                    <c:v>6.3756000000000004E-3</c:v>
                  </c:pt>
                  <c:pt idx="1">
                    <c:v>8.6129999999999974E-3</c:v>
                  </c:pt>
                </c:numCache>
              </c:numRef>
            </c:plus>
            <c:minus>
              <c:numRef>
                <c:f>new!$V$12:$W$12</c:f>
                <c:numCache>
                  <c:formatCode>General</c:formatCode>
                  <c:ptCount val="2"/>
                  <c:pt idx="0">
                    <c:v>6.3756000000000004E-3</c:v>
                  </c:pt>
                  <c:pt idx="1">
                    <c:v>8.6129999999999974E-3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new!$V$10:$W$10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new!$V$11:$W$11</c:f>
              <c:numCache>
                <c:formatCode>General</c:formatCode>
                <c:ptCount val="2"/>
                <c:pt idx="0">
                  <c:v>-8.8704000000000005E-3</c:v>
                </c:pt>
                <c:pt idx="1">
                  <c:v>-1.5949999999999999E-2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C-B148-B495-A14028190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93489728"/>
        <c:axId val="-2135901680"/>
      </c:barChart>
      <c:catAx>
        <c:axId val="-209348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135901680"/>
        <c:crosses val="autoZero"/>
        <c:auto val="1"/>
        <c:lblAlgn val="ctr"/>
        <c:lblOffset val="100"/>
        <c:noMultiLvlLbl val="0"/>
      </c:catAx>
      <c:valAx>
        <c:axId val="-2135901680"/>
        <c:scaling>
          <c:orientation val="minMax"/>
          <c:max val="1.0000000000000002E-2"/>
          <c:min val="-3.000000000000000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-209348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new!$Y$11</c:f>
              <c:strCache>
                <c:ptCount val="1"/>
                <c:pt idx="0">
                  <c:v>coeff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new!$Z$12:$AA$12</c:f>
                <c:numCache>
                  <c:formatCode>General</c:formatCode>
                  <c:ptCount val="2"/>
                  <c:pt idx="0">
                    <c:v>6.3201599999999991E-3</c:v>
                  </c:pt>
                  <c:pt idx="1">
                    <c:v>8.6129999999999974E-3</c:v>
                  </c:pt>
                </c:numCache>
              </c:numRef>
            </c:plus>
            <c:minus>
              <c:numRef>
                <c:f>new!$Z$12:$AA$12</c:f>
                <c:numCache>
                  <c:formatCode>General</c:formatCode>
                  <c:ptCount val="2"/>
                  <c:pt idx="0">
                    <c:v>6.3201599999999991E-3</c:v>
                  </c:pt>
                  <c:pt idx="1">
                    <c:v>8.6129999999999974E-3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new!$Z$10:$AA$10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new!$Z$11:$AA$11</c:f>
              <c:numCache>
                <c:formatCode>General</c:formatCode>
                <c:ptCount val="2"/>
                <c:pt idx="0">
                  <c:v>-8.7024000000000008E-3</c:v>
                </c:pt>
                <c:pt idx="1">
                  <c:v>-1.566E-2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A-9B42-8DF2-19A43642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100027424"/>
        <c:axId val="-2060387472"/>
      </c:barChart>
      <c:catAx>
        <c:axId val="-210002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60387472"/>
        <c:crosses val="autoZero"/>
        <c:auto val="1"/>
        <c:lblAlgn val="ctr"/>
        <c:lblOffset val="100"/>
        <c:noMultiLvlLbl val="0"/>
      </c:catAx>
      <c:valAx>
        <c:axId val="-2060387472"/>
        <c:scaling>
          <c:orientation val="minMax"/>
          <c:max val="1.0000000000000002E-2"/>
          <c:min val="-3.000000000000000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-210002742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new!$AC$11</c:f>
              <c:strCache>
                <c:ptCount val="1"/>
                <c:pt idx="0">
                  <c:v>coeff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new!$AD$12:$AE$12</c:f>
                <c:numCache>
                  <c:formatCode>General</c:formatCode>
                  <c:ptCount val="2"/>
                  <c:pt idx="0">
                    <c:v>6.2647200000000005E-3</c:v>
                  </c:pt>
                  <c:pt idx="1">
                    <c:v>8.6129999999999974E-3</c:v>
                  </c:pt>
                </c:numCache>
              </c:numRef>
            </c:plus>
            <c:minus>
              <c:numRef>
                <c:f>new!$AD$12:$AE$12</c:f>
                <c:numCache>
                  <c:formatCode>General</c:formatCode>
                  <c:ptCount val="2"/>
                  <c:pt idx="0">
                    <c:v>6.2647200000000005E-3</c:v>
                  </c:pt>
                  <c:pt idx="1">
                    <c:v>8.6129999999999974E-3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new!$AD$10:$AE$10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new!$AD$11:$AE$11</c:f>
              <c:numCache>
                <c:formatCode>General</c:formatCode>
                <c:ptCount val="2"/>
                <c:pt idx="0">
                  <c:v>-9.0720000000000002E-3</c:v>
                </c:pt>
                <c:pt idx="1">
                  <c:v>-1.5369999999999998E-2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D944-9363-3BDF6942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47618272"/>
        <c:axId val="2120169200"/>
      </c:barChart>
      <c:catAx>
        <c:axId val="-20476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2120169200"/>
        <c:crosses val="autoZero"/>
        <c:auto val="1"/>
        <c:lblAlgn val="ctr"/>
        <c:lblOffset val="100"/>
        <c:noMultiLvlLbl val="0"/>
      </c:catAx>
      <c:valAx>
        <c:axId val="2120169200"/>
        <c:scaling>
          <c:orientation val="minMax"/>
          <c:max val="1.0000000000000002E-2"/>
          <c:min val="-3.000000000000000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-204761827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48</xdr:row>
      <xdr:rowOff>177799</xdr:rowOff>
    </xdr:from>
    <xdr:to>
      <xdr:col>10</xdr:col>
      <xdr:colOff>812800</xdr:colOff>
      <xdr:row>50</xdr:row>
      <xdr:rowOff>158233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38B35AA-A745-8043-9144-46EBEB1F9D68}"/>
            </a:ext>
          </a:extLst>
        </xdr:cNvPr>
        <xdr:cNvGrpSpPr/>
      </xdr:nvGrpSpPr>
      <xdr:grpSpPr>
        <a:xfrm>
          <a:off x="2362200" y="9931399"/>
          <a:ext cx="7124700" cy="386834"/>
          <a:chOff x="1943100" y="15823968"/>
          <a:chExt cx="5675611" cy="387073"/>
        </a:xfrm>
      </xdr:grpSpPr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FD31B043-04A3-F140-B9C5-DA7DBCB9BF2F}"/>
              </a:ext>
            </a:extLst>
          </xdr:cNvPr>
          <xdr:cNvCxnSpPr/>
        </xdr:nvCxnSpPr>
        <xdr:spPr>
          <a:xfrm flipV="1">
            <a:off x="1943100" y="15823968"/>
            <a:ext cx="5675611" cy="232"/>
          </a:xfrm>
          <a:prstGeom prst="straightConnector1">
            <a:avLst/>
          </a:prstGeom>
          <a:ln w="3810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E791216-A931-DC48-8D0D-0AAEC53B8060}"/>
              </a:ext>
            </a:extLst>
          </xdr:cNvPr>
          <xdr:cNvSpPr txBox="1"/>
        </xdr:nvSpPr>
        <xdr:spPr>
          <a:xfrm>
            <a:off x="2206415" y="15836900"/>
            <a:ext cx="10053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600" b="1">
                <a:latin typeface="Times New Roman" charset="0"/>
                <a:ea typeface="Times New Roman" charset="0"/>
                <a:cs typeface="Times New Roman" charset="0"/>
              </a:rPr>
              <a:t>Robustness 1</a:t>
            </a:r>
          </a:p>
        </xdr:txBody>
      </xdr:sp>
    </xdr:grpSp>
    <xdr:clientData/>
  </xdr:twoCellAnchor>
  <xdr:twoCellAnchor>
    <xdr:from>
      <xdr:col>2</xdr:col>
      <xdr:colOff>273050</xdr:colOff>
      <xdr:row>15</xdr:row>
      <xdr:rowOff>114300</xdr:rowOff>
    </xdr:from>
    <xdr:to>
      <xdr:col>4</xdr:col>
      <xdr:colOff>635000</xdr:colOff>
      <xdr:row>29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E1F432-10E5-6541-A4F0-779226F33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628650</xdr:colOff>
      <xdr:row>15</xdr:row>
      <xdr:rowOff>114300</xdr:rowOff>
    </xdr:from>
    <xdr:to>
      <xdr:col>6</xdr:col>
      <xdr:colOff>698500</xdr:colOff>
      <xdr:row>29</xdr:row>
      <xdr:rowOff>196850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A14314-39DB-0246-90E9-1E40229D4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704850</xdr:colOff>
      <xdr:row>15</xdr:row>
      <xdr:rowOff>114300</xdr:rowOff>
    </xdr:from>
    <xdr:to>
      <xdr:col>8</xdr:col>
      <xdr:colOff>774700</xdr:colOff>
      <xdr:row>29</xdr:row>
      <xdr:rowOff>196850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209B59-0554-4747-8292-1ED484703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736600</xdr:colOff>
      <xdr:row>15</xdr:row>
      <xdr:rowOff>114300</xdr:rowOff>
    </xdr:from>
    <xdr:to>
      <xdr:col>10</xdr:col>
      <xdr:colOff>749300</xdr:colOff>
      <xdr:row>29</xdr:row>
      <xdr:rowOff>196850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9A2E1E5-848D-3045-B11A-5A4C3103C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279400</xdr:colOff>
      <xdr:row>31</xdr:row>
      <xdr:rowOff>152400</xdr:rowOff>
    </xdr:from>
    <xdr:to>
      <xdr:col>4</xdr:col>
      <xdr:colOff>641350</xdr:colOff>
      <xdr:row>46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8D05D0F-C051-AA41-A61E-F71D719BB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647700</xdr:colOff>
      <xdr:row>31</xdr:row>
      <xdr:rowOff>152400</xdr:rowOff>
    </xdr:from>
    <xdr:to>
      <xdr:col>6</xdr:col>
      <xdr:colOff>717550</xdr:colOff>
      <xdr:row>46</xdr:row>
      <xdr:rowOff>31750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95997A4-4769-DB44-83F1-F69BC92AE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711200</xdr:colOff>
      <xdr:row>31</xdr:row>
      <xdr:rowOff>152400</xdr:rowOff>
    </xdr:from>
    <xdr:to>
      <xdr:col>8</xdr:col>
      <xdr:colOff>781050</xdr:colOff>
      <xdr:row>46</xdr:row>
      <xdr:rowOff>31750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F1F67C-CD55-5945-899C-8B4A98786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768350</xdr:colOff>
      <xdr:row>31</xdr:row>
      <xdr:rowOff>152400</xdr:rowOff>
    </xdr:from>
    <xdr:to>
      <xdr:col>10</xdr:col>
      <xdr:colOff>781050</xdr:colOff>
      <xdr:row>46</xdr:row>
      <xdr:rowOff>31750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FCC4890-599B-1541-8CE6-64D15517E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25400</xdr:colOff>
      <xdr:row>48</xdr:row>
      <xdr:rowOff>190500</xdr:rowOff>
    </xdr:from>
    <xdr:to>
      <xdr:col>6</xdr:col>
      <xdr:colOff>800101</xdr:colOff>
      <xdr:row>50</xdr:row>
      <xdr:rowOff>158241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1A51AC-9BC8-6442-9F92-B4850B367EA6}"/>
            </a:ext>
          </a:extLst>
        </xdr:cNvPr>
        <xdr:cNvSpPr txBox="1"/>
      </xdr:nvSpPr>
      <xdr:spPr>
        <a:xfrm>
          <a:off x="4572000" y="10452100"/>
          <a:ext cx="160020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>
              <a:latin typeface="Times New Roman" charset="0"/>
              <a:ea typeface="Times New Roman" charset="0"/>
              <a:cs typeface="Times New Roman" charset="0"/>
            </a:rPr>
            <a:t>Robustness 2</a:t>
          </a:r>
        </a:p>
      </xdr:txBody>
    </xdr:sp>
    <xdr:clientData/>
  </xdr:twoCellAnchor>
  <xdr:twoCellAnchor>
    <xdr:from>
      <xdr:col>7</xdr:col>
      <xdr:colOff>50800</xdr:colOff>
      <xdr:row>48</xdr:row>
      <xdr:rowOff>190500</xdr:rowOff>
    </xdr:from>
    <xdr:to>
      <xdr:col>9</xdr:col>
      <xdr:colOff>1</xdr:colOff>
      <xdr:row>50</xdr:row>
      <xdr:rowOff>158241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2DA9140-D885-AF45-873E-936E8F386126}"/>
            </a:ext>
          </a:extLst>
        </xdr:cNvPr>
        <xdr:cNvSpPr txBox="1"/>
      </xdr:nvSpPr>
      <xdr:spPr>
        <a:xfrm>
          <a:off x="6248400" y="10452100"/>
          <a:ext cx="160020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>
              <a:latin typeface="Times New Roman" charset="0"/>
              <a:ea typeface="Times New Roman" charset="0"/>
              <a:cs typeface="Times New Roman" charset="0"/>
            </a:rPr>
            <a:t>Robustness 3</a:t>
          </a:r>
        </a:p>
      </xdr:txBody>
    </xdr:sp>
    <xdr:clientData/>
  </xdr:twoCellAnchor>
  <xdr:twoCellAnchor>
    <xdr:from>
      <xdr:col>9</xdr:col>
      <xdr:colOff>0</xdr:colOff>
      <xdr:row>48</xdr:row>
      <xdr:rowOff>177800</xdr:rowOff>
    </xdr:from>
    <xdr:to>
      <xdr:col>10</xdr:col>
      <xdr:colOff>774701</xdr:colOff>
      <xdr:row>50</xdr:row>
      <xdr:rowOff>145541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40168-8652-BA47-94D2-88CE2A548695}"/>
            </a:ext>
          </a:extLst>
        </xdr:cNvPr>
        <xdr:cNvSpPr txBox="1"/>
      </xdr:nvSpPr>
      <xdr:spPr>
        <a:xfrm>
          <a:off x="7848600" y="10439400"/>
          <a:ext cx="160020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>
              <a:latin typeface="Times New Roman" charset="0"/>
              <a:ea typeface="Times New Roman" charset="0"/>
              <a:cs typeface="Times New Roman" charset="0"/>
            </a:rPr>
            <a:t>Robustness 4</a:t>
          </a:r>
        </a:p>
        <a:p>
          <a:endParaRPr lang="en-US" sz="1600" b="1">
            <a:latin typeface="Times New Roman" charset="0"/>
            <a:ea typeface="Times New Roman" charset="0"/>
            <a:cs typeface="Times New Roman" charset="0"/>
          </a:endParaRPr>
        </a:p>
      </xdr:txBody>
    </xdr:sp>
    <xdr:clientData/>
  </xdr:twoCellAnchor>
  <xdr:twoCellAnchor>
    <xdr:from>
      <xdr:col>6</xdr:col>
      <xdr:colOff>215900</xdr:colOff>
      <xdr:row>13</xdr:row>
      <xdr:rowOff>101600</xdr:rowOff>
    </xdr:from>
    <xdr:to>
      <xdr:col>7</xdr:col>
      <xdr:colOff>694900</xdr:colOff>
      <xdr:row>15</xdr:row>
      <xdr:rowOff>69341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1E9FEE9-0A3F-BB43-B67C-393FDCBBD2F8}"/>
            </a:ext>
          </a:extLst>
        </xdr:cNvPr>
        <xdr:cNvSpPr txBox="1"/>
      </xdr:nvSpPr>
      <xdr:spPr>
        <a:xfrm>
          <a:off x="5588000" y="3251200"/>
          <a:ext cx="13045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>
              <a:latin typeface="Times New Roman" charset="0"/>
              <a:ea typeface="Times New Roman" charset="0"/>
              <a:cs typeface="Times New Roman" charset="0"/>
            </a:rPr>
            <a:t>Wealth</a:t>
          </a:r>
        </a:p>
      </xdr:txBody>
    </xdr:sp>
    <xdr:clientData/>
  </xdr:twoCellAnchor>
  <xdr:twoCellAnchor>
    <xdr:from>
      <xdr:col>6</xdr:col>
      <xdr:colOff>304800</xdr:colOff>
      <xdr:row>30</xdr:row>
      <xdr:rowOff>12700</xdr:rowOff>
    </xdr:from>
    <xdr:to>
      <xdr:col>7</xdr:col>
      <xdr:colOff>783800</xdr:colOff>
      <xdr:row>31</xdr:row>
      <xdr:rowOff>183641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EA91F4F-B4F8-A34E-B5F1-2E985A5A847F}"/>
            </a:ext>
          </a:extLst>
        </xdr:cNvPr>
        <xdr:cNvSpPr txBox="1"/>
      </xdr:nvSpPr>
      <xdr:spPr>
        <a:xfrm>
          <a:off x="5676900" y="6616700"/>
          <a:ext cx="13045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>
              <a:latin typeface="Times New Roman" charset="0"/>
              <a:ea typeface="Times New Roman" charset="0"/>
              <a:cs typeface="Times New Roman" charset="0"/>
            </a:rPr>
            <a:t>Income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712F-E4F3-174A-9E1F-4D11385C78C8}">
  <sheetPr>
    <pageSetUpPr fitToPage="1"/>
  </sheetPr>
  <dimension ref="A1:AH12"/>
  <sheetViews>
    <sheetView tabSelected="1" topLeftCell="B25" zoomScaleNormal="175" workbookViewId="0">
      <selection activeCell="N46" sqref="N46"/>
    </sheetView>
  </sheetViews>
  <sheetFormatPr baseColWidth="10" defaultRowHeight="16" x14ac:dyDescent="0.2"/>
  <cols>
    <col min="1" max="1" width="16.33203125" style="3" bestFit="1" customWidth="1"/>
    <col min="2" max="25" width="10.83203125" style="3"/>
    <col min="26" max="26" width="11.83203125" style="3" bestFit="1" customWidth="1"/>
    <col min="27" max="16384" width="10.83203125" style="3"/>
  </cols>
  <sheetData>
    <row r="1" spans="1:34" x14ac:dyDescent="0.2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Q1" s="5" t="s">
        <v>10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spans="1:34" x14ac:dyDescent="0.2">
      <c r="A5" s="2" t="s">
        <v>6</v>
      </c>
    </row>
    <row r="6" spans="1:34" x14ac:dyDescent="0.2">
      <c r="A6" s="3" t="s">
        <v>4</v>
      </c>
      <c r="E6" s="3" t="s">
        <v>7</v>
      </c>
      <c r="I6" s="1" t="s">
        <v>8</v>
      </c>
      <c r="M6" s="3" t="s">
        <v>9</v>
      </c>
      <c r="Q6" s="3" t="s">
        <v>4</v>
      </c>
      <c r="U6" s="3" t="s">
        <v>7</v>
      </c>
      <c r="Y6" s="1" t="s">
        <v>8</v>
      </c>
      <c r="AC6" s="3" t="s">
        <v>9</v>
      </c>
      <c r="AG6" s="3" t="s">
        <v>11</v>
      </c>
    </row>
    <row r="7" spans="1:34" x14ac:dyDescent="0.2">
      <c r="B7" s="3" t="s">
        <v>3</v>
      </c>
      <c r="C7" s="3" t="s">
        <v>2</v>
      </c>
      <c r="F7" s="3" t="s">
        <v>3</v>
      </c>
      <c r="G7" s="3" t="s">
        <v>2</v>
      </c>
      <c r="J7" s="3" t="s">
        <v>3</v>
      </c>
      <c r="K7" s="3" t="s">
        <v>2</v>
      </c>
      <c r="N7" s="3" t="s">
        <v>3</v>
      </c>
      <c r="O7" s="3" t="s">
        <v>2</v>
      </c>
      <c r="R7" s="3" t="s">
        <v>3</v>
      </c>
      <c r="S7" s="3" t="s">
        <v>2</v>
      </c>
      <c r="V7" s="3" t="s">
        <v>3</v>
      </c>
      <c r="W7" s="3" t="s">
        <v>2</v>
      </c>
      <c r="Z7" s="3" t="s">
        <v>3</v>
      </c>
      <c r="AA7" s="3" t="s">
        <v>2</v>
      </c>
      <c r="AD7" s="3" t="s">
        <v>3</v>
      </c>
      <c r="AE7" s="3" t="s">
        <v>2</v>
      </c>
      <c r="AG7" s="3" t="s">
        <v>2</v>
      </c>
      <c r="AH7" s="3" t="s">
        <v>3</v>
      </c>
    </row>
    <row r="8" spans="1:34" x14ac:dyDescent="0.2">
      <c r="A8" s="3" t="s">
        <v>0</v>
      </c>
      <c r="B8" s="4">
        <v>-0.27300000000000002</v>
      </c>
      <c r="C8" s="4">
        <v>-5.3999999999999999E-2</v>
      </c>
      <c r="E8" s="3" t="s">
        <v>0</v>
      </c>
      <c r="F8" s="4">
        <v>-0.255</v>
      </c>
      <c r="G8" s="4">
        <v>-5.1999999999999998E-2</v>
      </c>
      <c r="I8" s="3" t="s">
        <v>0</v>
      </c>
      <c r="J8" s="4">
        <v>-0.27400000000000002</v>
      </c>
      <c r="K8" s="4">
        <v>-5.6000000000000001E-2</v>
      </c>
      <c r="M8" s="3" t="s">
        <v>0</v>
      </c>
      <c r="N8" s="4">
        <v>-0.16600000000000001</v>
      </c>
      <c r="O8" s="4">
        <v>-4.8000000000000001E-2</v>
      </c>
      <c r="Q8" s="3" t="s">
        <v>0</v>
      </c>
      <c r="R8" s="4">
        <v>-0.26600000000000001</v>
      </c>
      <c r="S8" s="4">
        <v>-5.2999999999999999E-2</v>
      </c>
      <c r="U8" s="3" t="s">
        <v>0</v>
      </c>
      <c r="V8" s="4">
        <v>-0.26400000000000001</v>
      </c>
      <c r="W8" s="4">
        <v>-5.5E-2</v>
      </c>
      <c r="Y8" s="3" t="s">
        <v>0</v>
      </c>
      <c r="Z8" s="4">
        <v>-0.25900000000000001</v>
      </c>
      <c r="AA8" s="4">
        <v>-5.3999999999999999E-2</v>
      </c>
      <c r="AC8" s="3" t="s">
        <v>0</v>
      </c>
      <c r="AD8" s="4">
        <v>-0.27</v>
      </c>
      <c r="AE8" s="4">
        <v>-5.2999999999999999E-2</v>
      </c>
      <c r="AG8" s="3">
        <v>0.28999999999999998</v>
      </c>
      <c r="AH8" s="3">
        <v>3.36</v>
      </c>
    </row>
    <row r="9" spans="1:34" x14ac:dyDescent="0.2">
      <c r="A9" s="3" t="s">
        <v>1</v>
      </c>
      <c r="B9" s="4">
        <v>0.114</v>
      </c>
      <c r="C9" s="4">
        <v>1.7999999999999999E-2</v>
      </c>
      <c r="F9" s="4">
        <v>0.11</v>
      </c>
      <c r="G9" s="4">
        <v>1.7999999999999999E-2</v>
      </c>
      <c r="J9" s="4">
        <v>0.114</v>
      </c>
      <c r="K9" s="4">
        <v>1.7999999999999999E-2</v>
      </c>
      <c r="N9" s="4">
        <v>9.7000000000000003E-2</v>
      </c>
      <c r="O9" s="4">
        <v>1.9E-2</v>
      </c>
      <c r="R9" s="4">
        <v>0.128</v>
      </c>
      <c r="S9" s="4">
        <v>0.02</v>
      </c>
      <c r="V9" s="4">
        <v>0.115</v>
      </c>
      <c r="W9" s="4">
        <v>1.7999999999999999E-2</v>
      </c>
      <c r="Z9" s="4">
        <v>0.114</v>
      </c>
      <c r="AA9" s="4">
        <v>1.7999999999999999E-2</v>
      </c>
      <c r="AD9" s="4">
        <v>0.113</v>
      </c>
      <c r="AE9" s="4">
        <v>1.7999999999999999E-2</v>
      </c>
    </row>
    <row r="10" spans="1:34" x14ac:dyDescent="0.2">
      <c r="B10" s="3" t="s">
        <v>3</v>
      </c>
      <c r="C10" s="3" t="s">
        <v>2</v>
      </c>
      <c r="F10" s="3" t="s">
        <v>3</v>
      </c>
      <c r="G10" s="3" t="s">
        <v>2</v>
      </c>
      <c r="J10" s="3" t="s">
        <v>3</v>
      </c>
      <c r="K10" s="3" t="s">
        <v>2</v>
      </c>
      <c r="N10" s="3" t="s">
        <v>3</v>
      </c>
      <c r="O10" s="3" t="s">
        <v>2</v>
      </c>
      <c r="R10" s="3" t="s">
        <v>3</v>
      </c>
      <c r="S10" s="3" t="s">
        <v>2</v>
      </c>
      <c r="V10" s="3" t="s">
        <v>3</v>
      </c>
      <c r="W10" s="3" t="s">
        <v>2</v>
      </c>
      <c r="Z10" s="3" t="s">
        <v>3</v>
      </c>
      <c r="AA10" s="3" t="s">
        <v>2</v>
      </c>
      <c r="AD10" s="3" t="s">
        <v>3</v>
      </c>
      <c r="AE10" s="3" t="s">
        <v>2</v>
      </c>
      <c r="AG10" s="3" t="s">
        <v>2</v>
      </c>
      <c r="AH10" s="3" t="s">
        <v>3</v>
      </c>
    </row>
    <row r="11" spans="1:34" x14ac:dyDescent="0.2">
      <c r="A11" s="3" t="s">
        <v>12</v>
      </c>
      <c r="B11" s="4">
        <f>B8*$AH$8/100</f>
        <v>-9.1728000000000001E-3</v>
      </c>
      <c r="C11" s="4">
        <f>C8*$AG$8</f>
        <v>-1.566E-2</v>
      </c>
      <c r="E11" s="3" t="s">
        <v>0</v>
      </c>
      <c r="F11" s="4">
        <f>F8*$AH$8/100</f>
        <v>-8.5679999999999992E-3</v>
      </c>
      <c r="G11" s="4">
        <f>G8*$AG$8</f>
        <v>-1.5079999999999998E-2</v>
      </c>
      <c r="I11" s="3" t="s">
        <v>0</v>
      </c>
      <c r="J11" s="4">
        <f>J8*$AH$8/100</f>
        <v>-9.2064E-3</v>
      </c>
      <c r="K11" s="4">
        <f>K8*$AG$8</f>
        <v>-1.6239999999999997E-2</v>
      </c>
      <c r="M11" s="3" t="s">
        <v>0</v>
      </c>
      <c r="N11" s="4">
        <f>N8*$AH$8/100</f>
        <v>-5.5776000000000003E-3</v>
      </c>
      <c r="O11" s="4">
        <f>O8*$AG$8</f>
        <v>-1.392E-2</v>
      </c>
      <c r="Q11" s="3" t="s">
        <v>0</v>
      </c>
      <c r="R11" s="4">
        <f>R8*$AH$8/100</f>
        <v>-8.9376000000000004E-3</v>
      </c>
      <c r="S11" s="4">
        <f>S8*$AG$8</f>
        <v>-1.5369999999999998E-2</v>
      </c>
      <c r="U11" s="3" t="s">
        <v>0</v>
      </c>
      <c r="V11" s="4">
        <f>V8*$AH$8/100</f>
        <v>-8.8704000000000005E-3</v>
      </c>
      <c r="W11" s="4">
        <f>W8*$AG$8</f>
        <v>-1.5949999999999999E-2</v>
      </c>
      <c r="Y11" s="3" t="s">
        <v>0</v>
      </c>
      <c r="Z11" s="4">
        <f>Z8*$AH$8/100</f>
        <v>-8.7024000000000008E-3</v>
      </c>
      <c r="AA11" s="4">
        <f>AA8*$AG$8</f>
        <v>-1.566E-2</v>
      </c>
      <c r="AC11" s="3" t="s">
        <v>0</v>
      </c>
      <c r="AD11" s="4">
        <f>AD8*$AH$8/100</f>
        <v>-9.0720000000000002E-3</v>
      </c>
      <c r="AE11" s="4">
        <f>AE8*$AG$8</f>
        <v>-1.5369999999999998E-2</v>
      </c>
    </row>
    <row r="12" spans="1:34" x14ac:dyDescent="0.2">
      <c r="A12" s="3" t="s">
        <v>13</v>
      </c>
      <c r="B12" s="4">
        <f>B9*$AH$8*1.65/100</f>
        <v>6.3201599999999991E-3</v>
      </c>
      <c r="C12" s="4">
        <f>C9*$AG$8*1.65</f>
        <v>8.6129999999999974E-3</v>
      </c>
      <c r="F12" s="4">
        <f>F9*$AH$8*1.65/100</f>
        <v>6.0983999999999995E-3</v>
      </c>
      <c r="G12" s="4">
        <f>G9*$AG$8*1.65</f>
        <v>8.6129999999999974E-3</v>
      </c>
      <c r="J12" s="4">
        <f>J9*$AH$8*1.65/100</f>
        <v>6.3201599999999991E-3</v>
      </c>
      <c r="K12" s="4">
        <f>K9*$AG$8*1.65</f>
        <v>8.6129999999999974E-3</v>
      </c>
      <c r="N12" s="4">
        <f>N9*$AH$8*1.65/100</f>
        <v>5.3776799999999993E-3</v>
      </c>
      <c r="O12" s="4">
        <f>O9*$AG$8*1.65</f>
        <v>9.0914999999999989E-3</v>
      </c>
      <c r="R12" s="4">
        <f>R9*$AH$8*1.65/100</f>
        <v>7.0963200000000006E-3</v>
      </c>
      <c r="S12" s="4">
        <f>S9*$AG$8*1.65</f>
        <v>9.5699999999999986E-3</v>
      </c>
      <c r="V12" s="4">
        <f>V9*$AH$8*1.65/100</f>
        <v>6.3756000000000004E-3</v>
      </c>
      <c r="W12" s="4">
        <f>W9*$AG$8*1.65</f>
        <v>8.6129999999999974E-3</v>
      </c>
      <c r="Z12" s="4">
        <f>Z9*$AH$8*1.65/100</f>
        <v>6.3201599999999991E-3</v>
      </c>
      <c r="AA12" s="4">
        <f>AA9*$AG$8*1.65</f>
        <v>8.6129999999999974E-3</v>
      </c>
      <c r="AD12" s="4">
        <f>AD9*$AH$8*1.65/100</f>
        <v>6.2647200000000005E-3</v>
      </c>
      <c r="AE12" s="4">
        <f>AE9*$AG$8*1.65</f>
        <v>8.6129999999999974E-3</v>
      </c>
    </row>
  </sheetData>
  <mergeCells count="2">
    <mergeCell ref="A1:O1"/>
    <mergeCell ref="Q1:AE1"/>
  </mergeCells>
  <pageMargins left="0.7" right="0.7" top="0.75" bottom="0.75" header="0.3" footer="0.3"/>
  <pageSetup scale="78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Canyao Liu</dc:creator>
  <cp:lastModifiedBy>Leslie Sheng Shen</cp:lastModifiedBy>
  <cp:lastPrinted>2023-02-07T23:56:50Z</cp:lastPrinted>
  <dcterms:created xsi:type="dcterms:W3CDTF">2017-08-21T03:24:03Z</dcterms:created>
  <dcterms:modified xsi:type="dcterms:W3CDTF">2023-02-08T00:03:31Z</dcterms:modified>
</cp:coreProperties>
</file>