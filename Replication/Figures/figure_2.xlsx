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 showInkAnnotation="0"/>
  <mc:AlternateContent xmlns:mc="http://schemas.openxmlformats.org/markup-compatibility/2006">
    <mc:Choice Requires="x15">
      <x15ac:absPath xmlns:x15ac="http://schemas.microsoft.com/office/spreadsheetml/2010/11/ac" url="/Users/lsshen/Library/CloudStorage/Dropbox/Shared/Research/Working Projects/Ulrike Malmendier/Consumption Experience/Replication/Figures/"/>
    </mc:Choice>
  </mc:AlternateContent>
  <xr:revisionPtr revIDLastSave="0" documentId="13_ncr:1_{87B3A0B7-E4E8-C245-A730-6B342593BE4E}" xr6:coauthVersionLast="47" xr6:coauthVersionMax="47" xr10:uidLastSave="{00000000-0000-0000-0000-000000000000}"/>
  <bookViews>
    <workbookView xWindow="780" yWindow="500" windowWidth="28800" windowHeight="17500" tabRatio="500" xr2:uid="{00000000-000D-0000-FFFF-FFFF00000000}"/>
  </bookViews>
  <sheets>
    <sheet name="format5" sheetId="5" r:id="rId1"/>
  </sheets>
  <definedNames>
    <definedName name="_xlnm.Print_Area" localSheetId="0">format5!$A$16:$N$58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5" l="1"/>
  <c r="B6" i="5"/>
  <c r="O14" i="5"/>
  <c r="N14" i="5"/>
  <c r="O13" i="5"/>
  <c r="N13" i="5"/>
  <c r="K14" i="5"/>
  <c r="J14" i="5"/>
  <c r="K13" i="5"/>
  <c r="J13" i="5"/>
  <c r="L14" i="5"/>
  <c r="L13" i="5"/>
  <c r="G14" i="5"/>
  <c r="F14" i="5"/>
  <c r="G13" i="5"/>
  <c r="F13" i="5"/>
  <c r="C14" i="5"/>
  <c r="B14" i="5"/>
  <c r="C13" i="5"/>
  <c r="B13" i="5"/>
  <c r="O7" i="5"/>
  <c r="N7" i="5"/>
  <c r="O6" i="5"/>
  <c r="N6" i="5"/>
  <c r="K7" i="5"/>
  <c r="J7" i="5"/>
  <c r="K6" i="5"/>
  <c r="J6" i="5"/>
  <c r="G7" i="5"/>
  <c r="F7" i="5"/>
  <c r="G6" i="5"/>
  <c r="F6" i="5"/>
  <c r="C7" i="5"/>
  <c r="B7" i="5"/>
</calcChain>
</file>

<file path=xl/sharedStrings.xml><?xml version="1.0" encoding="utf-8"?>
<sst xmlns="http://schemas.openxmlformats.org/spreadsheetml/2006/main" count="59" uniqueCount="9">
  <si>
    <t>t-8</t>
  </si>
  <si>
    <t>coeff</t>
  </si>
  <si>
    <t>macro</t>
  </si>
  <si>
    <t>t-10</t>
  </si>
  <si>
    <t>t-6</t>
  </si>
  <si>
    <t>t-12</t>
  </si>
  <si>
    <t>personal</t>
  </si>
  <si>
    <t>standard error</t>
  </si>
  <si>
    <t>1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</si>
</sst>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CMR10"/>
    </font>
    <font>
      <sz val="12"/>
      <color theme="1"/>
      <name val="Calibri"/>
      <family val="2"/>
    </font>
    <font>
      <sz val="12"/>
      <color theme="1"/>
      <name val="CMR1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format5!$B$7:$C$7</c:f>
                <c:numCache>
                  <c:formatCode>General</c:formatCode>
                  <c:ptCount val="2"/>
                  <c:pt idx="0">
                    <c:v>3.1600799999999996E-3</c:v>
                  </c:pt>
                  <c:pt idx="1">
                    <c:v>6.6989999999999984E-3</c:v>
                  </c:pt>
                </c:numCache>
              </c:numRef>
            </c:plus>
            <c:minus>
              <c:numRef>
                <c:f>format5!$B$7:$C$7</c:f>
                <c:numCache>
                  <c:formatCode>General</c:formatCode>
                  <c:ptCount val="2"/>
                  <c:pt idx="0">
                    <c:v>3.1600799999999996E-3</c:v>
                  </c:pt>
                  <c:pt idx="1">
                    <c:v>6.6989999999999984E-3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format5!$B$3:$C$3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format5!$B$6:$C$6</c:f>
              <c:numCache>
                <c:formatCode>General</c:formatCode>
                <c:ptCount val="2"/>
                <c:pt idx="0">
                  <c:v>1.4177967374363165E-2</c:v>
                </c:pt>
                <c:pt idx="1">
                  <c:v>1.108094386138192E-2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A-8C49-93F3-55098B3F2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049717984"/>
        <c:axId val="-385573408"/>
      </c:barChart>
      <c:catAx>
        <c:axId val="-204971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385573408"/>
        <c:crosses val="autoZero"/>
        <c:auto val="1"/>
        <c:lblAlgn val="ctr"/>
        <c:lblOffset val="100"/>
        <c:noMultiLvlLbl val="0"/>
      </c:catAx>
      <c:valAx>
        <c:axId val="-385573408"/>
        <c:scaling>
          <c:orientation val="minMax"/>
          <c:max val="4.0000000000000008E-2"/>
          <c:min val="-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49717984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format5!$F$7:$G$7</c:f>
                <c:numCache>
                  <c:formatCode>General</c:formatCode>
                  <c:ptCount val="2"/>
                  <c:pt idx="0">
                    <c:v>3.3818399999999992E-3</c:v>
                  </c:pt>
                  <c:pt idx="1">
                    <c:v>9.5699999999999986E-3</c:v>
                  </c:pt>
                </c:numCache>
              </c:numRef>
            </c:plus>
            <c:minus>
              <c:numRef>
                <c:f>format5!$F$7:$G$7</c:f>
                <c:numCache>
                  <c:formatCode>General</c:formatCode>
                  <c:ptCount val="2"/>
                  <c:pt idx="0">
                    <c:v>3.3818399999999992E-3</c:v>
                  </c:pt>
                  <c:pt idx="1">
                    <c:v>9.5699999999999986E-3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format5!$F$3:$G$3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format5!$F$6:$G$6</c:f>
              <c:numCache>
                <c:formatCode>General</c:formatCode>
                <c:ptCount val="2"/>
                <c:pt idx="0">
                  <c:v>1.5489600000000001E-2</c:v>
                </c:pt>
                <c:pt idx="1">
                  <c:v>1.1599999999999999E-2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C-6948-B688-277665562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64181056"/>
        <c:axId val="-1992669040"/>
      </c:barChart>
      <c:catAx>
        <c:axId val="-26418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1992669040"/>
        <c:crosses val="autoZero"/>
        <c:auto val="1"/>
        <c:lblAlgn val="ctr"/>
        <c:lblOffset val="100"/>
        <c:noMultiLvlLbl val="0"/>
      </c:catAx>
      <c:valAx>
        <c:axId val="-1992669040"/>
        <c:scaling>
          <c:orientation val="minMax"/>
          <c:max val="4.0000000000000008E-2"/>
          <c:min val="-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64181056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format5!$I$6</c:f>
              <c:strCache>
                <c:ptCount val="1"/>
                <c:pt idx="0">
                  <c:v>coeff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format5!$J$7:$K$7</c:f>
                <c:numCache>
                  <c:formatCode>General</c:formatCode>
                  <c:ptCount val="2"/>
                  <c:pt idx="0">
                    <c:v>4.2688800000000001E-3</c:v>
                  </c:pt>
                  <c:pt idx="1">
                    <c:v>1.4833499999999999E-2</c:v>
                  </c:pt>
                </c:numCache>
              </c:numRef>
            </c:plus>
            <c:minus>
              <c:numRef>
                <c:f>format5!$J$7:$K$7</c:f>
                <c:numCache>
                  <c:formatCode>General</c:formatCode>
                  <c:ptCount val="2"/>
                  <c:pt idx="0">
                    <c:v>4.2688800000000001E-3</c:v>
                  </c:pt>
                  <c:pt idx="1">
                    <c:v>1.4833499999999999E-2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format5!$J$3:$K$3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format5!$J$6:$K$6</c:f>
              <c:numCache>
                <c:formatCode>General</c:formatCode>
                <c:ptCount val="2"/>
                <c:pt idx="0">
                  <c:v>1.6598399999999999E-2</c:v>
                </c:pt>
                <c:pt idx="1">
                  <c:v>1.363E-2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A-904A-9CC0-459664B11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44858800"/>
        <c:axId val="-385058208"/>
      </c:barChart>
      <c:catAx>
        <c:axId val="-24485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385058208"/>
        <c:crosses val="autoZero"/>
        <c:auto val="1"/>
        <c:lblAlgn val="ctr"/>
        <c:lblOffset val="100"/>
        <c:noMultiLvlLbl val="0"/>
      </c:catAx>
      <c:valAx>
        <c:axId val="-385058208"/>
        <c:scaling>
          <c:orientation val="minMax"/>
          <c:max val="4.0000000000000008E-2"/>
          <c:min val="-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4485880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format5!$M$6</c:f>
              <c:strCache>
                <c:ptCount val="1"/>
                <c:pt idx="0">
                  <c:v>coeff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format5!$N$7:$O$7</c:f>
                <c:numCache>
                  <c:formatCode>General</c:formatCode>
                  <c:ptCount val="2"/>
                  <c:pt idx="0">
                    <c:v>5.4331200000000005E-3</c:v>
                  </c:pt>
                  <c:pt idx="1">
                    <c:v>2.1053999999999996E-2</c:v>
                  </c:pt>
                </c:numCache>
              </c:numRef>
            </c:plus>
            <c:minus>
              <c:numRef>
                <c:f>format5!$N$7:$O$7</c:f>
                <c:numCache>
                  <c:formatCode>General</c:formatCode>
                  <c:ptCount val="2"/>
                  <c:pt idx="0">
                    <c:v>5.4331200000000005E-3</c:v>
                  </c:pt>
                  <c:pt idx="1">
                    <c:v>2.1053999999999996E-2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format5!$N$3:$O$3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format5!$N$6:$O$6</c:f>
              <c:numCache>
                <c:formatCode>General</c:formatCode>
                <c:ptCount val="2"/>
                <c:pt idx="0">
                  <c:v>1.95216E-2</c:v>
                </c:pt>
                <c:pt idx="1">
                  <c:v>1.653E-2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E-A54D-8991-2EEFF5D33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385100768"/>
        <c:axId val="-385679264"/>
      </c:barChart>
      <c:catAx>
        <c:axId val="-38510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385679264"/>
        <c:crosses val="autoZero"/>
        <c:auto val="1"/>
        <c:lblAlgn val="ctr"/>
        <c:lblOffset val="100"/>
        <c:noMultiLvlLbl val="0"/>
      </c:catAx>
      <c:valAx>
        <c:axId val="-385679264"/>
        <c:scaling>
          <c:orientation val="minMax"/>
          <c:max val="4.0000000000000008E-2"/>
          <c:min val="-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385100768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format5!$B$14:$C$14</c:f>
                <c:numCache>
                  <c:formatCode>General</c:formatCode>
                  <c:ptCount val="2"/>
                  <c:pt idx="0">
                    <c:v>3.1099199999999995E-3</c:v>
                  </c:pt>
                  <c:pt idx="1">
                    <c:v>7.3920000000000001E-3</c:v>
                  </c:pt>
                </c:numCache>
              </c:numRef>
            </c:plus>
            <c:minus>
              <c:numRef>
                <c:f>format5!$B$14:$C$14</c:f>
                <c:numCache>
                  <c:formatCode>General</c:formatCode>
                  <c:ptCount val="2"/>
                  <c:pt idx="0">
                    <c:v>3.1099199999999995E-3</c:v>
                  </c:pt>
                  <c:pt idx="1">
                    <c:v>7.3920000000000001E-3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format5!$B$10:$C$10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format5!$B$13:$C$13</c:f>
              <c:numCache>
                <c:formatCode>General</c:formatCode>
                <c:ptCount val="2"/>
                <c:pt idx="0">
                  <c:v>1.4018199999999998E-2</c:v>
                </c:pt>
                <c:pt idx="1">
                  <c:v>8.9600000000000009E-3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4-304A-8AF8-7A794DDBA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004922944"/>
        <c:axId val="-2016962016"/>
      </c:barChart>
      <c:catAx>
        <c:axId val="-20049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16962016"/>
        <c:crosses val="autoZero"/>
        <c:auto val="1"/>
        <c:lblAlgn val="ctr"/>
        <c:lblOffset val="100"/>
        <c:noMultiLvlLbl val="0"/>
      </c:catAx>
      <c:valAx>
        <c:axId val="-2016962016"/>
        <c:scaling>
          <c:orientation val="minMax"/>
          <c:max val="4.0000000000000008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0492294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format5!$F$14:$G$14</c:f>
                <c:numCache>
                  <c:formatCode>General</c:formatCode>
                  <c:ptCount val="2"/>
                  <c:pt idx="0">
                    <c:v>3.3042899999999997E-3</c:v>
                  </c:pt>
                  <c:pt idx="1">
                    <c:v>1.2012E-2</c:v>
                  </c:pt>
                </c:numCache>
              </c:numRef>
            </c:plus>
            <c:minus>
              <c:numRef>
                <c:f>format5!$F$14:$G$14</c:f>
                <c:numCache>
                  <c:formatCode>General</c:formatCode>
                  <c:ptCount val="2"/>
                  <c:pt idx="0">
                    <c:v>3.3042899999999997E-3</c:v>
                  </c:pt>
                  <c:pt idx="1">
                    <c:v>1.2012E-2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format5!$F$10:$G$10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format5!$F$13:$G$13</c:f>
              <c:numCache>
                <c:formatCode>General</c:formatCode>
                <c:ptCount val="2"/>
                <c:pt idx="0">
                  <c:v>1.5313999999999999E-2</c:v>
                </c:pt>
                <c:pt idx="1">
                  <c:v>1.1760000000000001E-2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6-2948-98D3-580B0115E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009494480"/>
        <c:axId val="-2048320560"/>
      </c:barChart>
      <c:catAx>
        <c:axId val="-200949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48320560"/>
        <c:crosses val="autoZero"/>
        <c:auto val="1"/>
        <c:lblAlgn val="ctr"/>
        <c:lblOffset val="100"/>
        <c:noMultiLvlLbl val="0"/>
      </c:catAx>
      <c:valAx>
        <c:axId val="-2048320560"/>
        <c:scaling>
          <c:orientation val="minMax"/>
          <c:max val="4.0000000000000008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009494480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format5!$J$14:$K$14</c:f>
                <c:numCache>
                  <c:formatCode>General</c:formatCode>
                  <c:ptCount val="2"/>
                  <c:pt idx="0">
                    <c:v>4.178954999999999E-3</c:v>
                  </c:pt>
                  <c:pt idx="1">
                    <c:v>1.6632000000000001E-2</c:v>
                  </c:pt>
                </c:numCache>
              </c:numRef>
            </c:plus>
            <c:minus>
              <c:numRef>
                <c:f>format5!$J$14:$K$14</c:f>
                <c:numCache>
                  <c:formatCode>General</c:formatCode>
                  <c:ptCount val="2"/>
                  <c:pt idx="0">
                    <c:v>4.178954999999999E-3</c:v>
                  </c:pt>
                  <c:pt idx="1">
                    <c:v>1.6632000000000001E-2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format5!$J$10:$K$10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format5!$J$13:$K$13</c:f>
              <c:numCache>
                <c:formatCode>General</c:formatCode>
                <c:ptCount val="2"/>
                <c:pt idx="0">
                  <c:v>1.65509E-2</c:v>
                </c:pt>
                <c:pt idx="1">
                  <c:v>1.3440000000000002E-2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D-5843-9772-24B5FFA83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239594784"/>
        <c:axId val="-359097040"/>
      </c:barChart>
      <c:catAx>
        <c:axId val="-23959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359097040"/>
        <c:crosses val="autoZero"/>
        <c:auto val="1"/>
        <c:lblAlgn val="ctr"/>
        <c:lblOffset val="100"/>
        <c:noMultiLvlLbl val="0"/>
      </c:catAx>
      <c:valAx>
        <c:axId val="-359097040"/>
        <c:scaling>
          <c:orientation val="minMax"/>
          <c:max val="4.0000000000000008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23959478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format5!$N$14:$O$14</c:f>
                <c:numCache>
                  <c:formatCode>General</c:formatCode>
                  <c:ptCount val="2"/>
                  <c:pt idx="0">
                    <c:v>5.3451749999999989E-3</c:v>
                  </c:pt>
                  <c:pt idx="1">
                    <c:v>2.4024E-2</c:v>
                  </c:pt>
                </c:numCache>
              </c:numRef>
            </c:plus>
            <c:minus>
              <c:numRef>
                <c:f>format5!$N$14:$O$14</c:f>
                <c:numCache>
                  <c:formatCode>General</c:formatCode>
                  <c:ptCount val="2"/>
                  <c:pt idx="0">
                    <c:v>5.3451749999999989E-3</c:v>
                  </c:pt>
                  <c:pt idx="1">
                    <c:v>2.4024E-2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format5!$N$10:$O$10</c:f>
              <c:strCache>
                <c:ptCount val="2"/>
                <c:pt idx="0">
                  <c:v>personal</c:v>
                </c:pt>
                <c:pt idx="1">
                  <c:v>macro</c:v>
                </c:pt>
              </c:strCache>
            </c:strRef>
          </c:cat>
          <c:val>
            <c:numRef>
              <c:f>format5!$N$13:$O$13</c:f>
              <c:numCache>
                <c:formatCode>General</c:formatCode>
                <c:ptCount val="2"/>
                <c:pt idx="0">
                  <c:v>1.94959E-2</c:v>
                </c:pt>
                <c:pt idx="1">
                  <c:v>1.736E-2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2-5541-AD45-6D163710D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-384689904"/>
        <c:axId val="-371617152"/>
      </c:barChart>
      <c:catAx>
        <c:axId val="-38468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371617152"/>
        <c:crosses val="autoZero"/>
        <c:auto val="1"/>
        <c:lblAlgn val="ctr"/>
        <c:lblOffset val="100"/>
        <c:noMultiLvlLbl val="0"/>
      </c:catAx>
      <c:valAx>
        <c:axId val="-371617152"/>
        <c:scaling>
          <c:orientation val="minMax"/>
          <c:max val="4.0000000000000008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charset="0"/>
                <a:ea typeface="Times New Roman" charset="0"/>
                <a:cs typeface="Times New Roman" charset="0"/>
              </a:defRPr>
            </a:pPr>
            <a:endParaRPr lang="en-US"/>
          </a:p>
        </c:txPr>
        <c:crossAx val="-38468990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17</xdr:row>
      <xdr:rowOff>119497</xdr:rowOff>
    </xdr:from>
    <xdr:to>
      <xdr:col>3</xdr:col>
      <xdr:colOff>520700</xdr:colOff>
      <xdr:row>35</xdr:row>
      <xdr:rowOff>119497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514350</xdr:colOff>
      <xdr:row>17</xdr:row>
      <xdr:rowOff>119497</xdr:rowOff>
    </xdr:from>
    <xdr:to>
      <xdr:col>6</xdr:col>
      <xdr:colOff>781050</xdr:colOff>
      <xdr:row>35</xdr:row>
      <xdr:rowOff>119497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793750</xdr:colOff>
      <xdr:row>17</xdr:row>
      <xdr:rowOff>119497</xdr:rowOff>
    </xdr:from>
    <xdr:to>
      <xdr:col>10</xdr:col>
      <xdr:colOff>234950</xdr:colOff>
      <xdr:row>35</xdr:row>
      <xdr:rowOff>119497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247650</xdr:colOff>
      <xdr:row>17</xdr:row>
      <xdr:rowOff>119497</xdr:rowOff>
    </xdr:from>
    <xdr:to>
      <xdr:col>13</xdr:col>
      <xdr:colOff>514350</xdr:colOff>
      <xdr:row>35</xdr:row>
      <xdr:rowOff>119497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235179</xdr:colOff>
      <xdr:row>56</xdr:row>
      <xdr:rowOff>24521</xdr:rowOff>
    </xdr:from>
    <xdr:to>
      <xdr:col>13</xdr:col>
      <xdr:colOff>731244</xdr:colOff>
      <xdr:row>57</xdr:row>
      <xdr:rowOff>194357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235179" y="11403721"/>
          <a:ext cx="11282598" cy="373036"/>
          <a:chOff x="1943102" y="15786100"/>
          <a:chExt cx="11226808" cy="377111"/>
        </a:xfrm>
      </xdr:grpSpPr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1943102" y="15824200"/>
            <a:ext cx="11226808" cy="0"/>
          </a:xfrm>
          <a:prstGeom prst="straightConnector1">
            <a:avLst/>
          </a:prstGeom>
          <a:ln w="381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2980028" y="15786100"/>
            <a:ext cx="449675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600" b="1">
                <a:latin typeface="Times New Roman" charset="0"/>
                <a:ea typeface="Times New Roman" charset="0"/>
                <a:cs typeface="Times New Roman" charset="0"/>
              </a:rPr>
              <a:t>t-6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5765081" y="15789042"/>
            <a:ext cx="452369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600" b="1">
                <a:latin typeface="Times New Roman" charset="0"/>
                <a:ea typeface="Times New Roman" charset="0"/>
                <a:cs typeface="Times New Roman" charset="0"/>
              </a:rPr>
              <a:t>t-8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8426187" y="15807984"/>
            <a:ext cx="569387" cy="3552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600" b="1">
                <a:latin typeface="Times New Roman" charset="0"/>
                <a:ea typeface="Times New Roman" charset="0"/>
                <a:cs typeface="Times New Roman" charset="0"/>
              </a:rPr>
              <a:t>t-10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423134" y="15789070"/>
            <a:ext cx="569387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600" b="1">
                <a:latin typeface="Times New Roman" charset="0"/>
                <a:ea typeface="Times New Roman" charset="0"/>
                <a:cs typeface="Times New Roman" charset="0"/>
              </a:rPr>
              <a:t>t-12</a:t>
            </a:r>
          </a:p>
        </xdr:txBody>
      </xdr:sp>
    </xdr:grpSp>
    <xdr:clientData/>
  </xdr:twoCellAnchor>
  <xdr:twoCellAnchor>
    <xdr:from>
      <xdr:col>0</xdr:col>
      <xdr:colOff>275651</xdr:colOff>
      <xdr:row>37</xdr:row>
      <xdr:rowOff>114289</xdr:rowOff>
    </xdr:from>
    <xdr:to>
      <xdr:col>3</xdr:col>
      <xdr:colOff>542351</xdr:colOff>
      <xdr:row>55</xdr:row>
      <xdr:rowOff>114290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542351</xdr:colOff>
      <xdr:row>37</xdr:row>
      <xdr:rowOff>114289</xdr:rowOff>
    </xdr:from>
    <xdr:to>
      <xdr:col>6</xdr:col>
      <xdr:colOff>809051</xdr:colOff>
      <xdr:row>55</xdr:row>
      <xdr:rowOff>114290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815401</xdr:colOff>
      <xdr:row>37</xdr:row>
      <xdr:rowOff>114289</xdr:rowOff>
    </xdr:from>
    <xdr:to>
      <xdr:col>10</xdr:col>
      <xdr:colOff>256601</xdr:colOff>
      <xdr:row>55</xdr:row>
      <xdr:rowOff>114290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269301</xdr:colOff>
      <xdr:row>37</xdr:row>
      <xdr:rowOff>114289</xdr:rowOff>
    </xdr:from>
    <xdr:to>
      <xdr:col>13</xdr:col>
      <xdr:colOff>536001</xdr:colOff>
      <xdr:row>55</xdr:row>
      <xdr:rowOff>114290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510600</xdr:colOff>
      <xdr:row>35</xdr:row>
      <xdr:rowOff>131629</xdr:rowOff>
    </xdr:from>
    <xdr:to>
      <xdr:col>7</xdr:col>
      <xdr:colOff>489638</xdr:colOff>
      <xdr:row>37</xdr:row>
      <xdr:rowOff>137710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AA62BF5-931F-8E4F-8B17-6A93EAC39D29}"/>
            </a:ext>
          </a:extLst>
        </xdr:cNvPr>
        <xdr:cNvSpPr txBox="1"/>
      </xdr:nvSpPr>
      <xdr:spPr>
        <a:xfrm>
          <a:off x="5468190" y="7093677"/>
          <a:ext cx="805303" cy="403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l-GR" sz="1800" b="1">
              <a:latin typeface="Times New Roman" charset="0"/>
              <a:ea typeface="Times New Roman" charset="0"/>
              <a:cs typeface="Times New Roman" charset="0"/>
            </a:rPr>
            <a:t>λ</a:t>
          </a:r>
          <a:r>
            <a:rPr lang="en-US" sz="1800" b="1">
              <a:latin typeface="Times New Roman" charset="0"/>
              <a:ea typeface="Times New Roman" charset="0"/>
              <a:cs typeface="Times New Roman" charset="0"/>
            </a:rPr>
            <a:t> = 3</a:t>
          </a:r>
        </a:p>
        <a:p>
          <a:endParaRPr lang="en-US" sz="1600" b="1">
            <a:latin typeface="Times New Roman" charset="0"/>
            <a:ea typeface="Times New Roman" charset="0"/>
            <a:cs typeface="Times New Roman" charset="0"/>
          </a:endParaRPr>
        </a:p>
      </xdr:txBody>
    </xdr:sp>
    <xdr:clientData/>
  </xdr:twoCellAnchor>
  <xdr:twoCellAnchor>
    <xdr:from>
      <xdr:col>6</xdr:col>
      <xdr:colOff>489639</xdr:colOff>
      <xdr:row>15</xdr:row>
      <xdr:rowOff>107108</xdr:rowOff>
    </xdr:from>
    <xdr:to>
      <xdr:col>7</xdr:col>
      <xdr:colOff>468677</xdr:colOff>
      <xdr:row>17</xdr:row>
      <xdr:rowOff>113190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9A9343E-F6D5-2643-952A-EDA4545B7C58}"/>
            </a:ext>
          </a:extLst>
        </xdr:cNvPr>
        <xdr:cNvSpPr txBox="1"/>
      </xdr:nvSpPr>
      <xdr:spPr>
        <a:xfrm>
          <a:off x="5447229" y="3090843"/>
          <a:ext cx="805303" cy="403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l-GR" sz="1800" b="1">
              <a:latin typeface="Times New Roman" charset="0"/>
              <a:ea typeface="Times New Roman" charset="0"/>
              <a:cs typeface="Times New Roman" charset="0"/>
            </a:rPr>
            <a:t>λ</a:t>
          </a:r>
          <a:r>
            <a:rPr lang="en-US" sz="1800" b="1">
              <a:latin typeface="Times New Roman" charset="0"/>
              <a:ea typeface="Times New Roman" charset="0"/>
              <a:cs typeface="Times New Roman" charset="0"/>
            </a:rPr>
            <a:t> = 1</a:t>
          </a:r>
        </a:p>
        <a:p>
          <a:endParaRPr lang="en-US" sz="1600" b="1">
            <a:latin typeface="Times New Roman" charset="0"/>
            <a:ea typeface="Times New Roman" charset="0"/>
            <a:cs typeface="Times New Roman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4"/>
  <sheetViews>
    <sheetView tabSelected="1" zoomScale="75" workbookViewId="0">
      <selection activeCell="R36" sqref="R36"/>
    </sheetView>
  </sheetViews>
  <sheetFormatPr baseColWidth="10" defaultRowHeight="16"/>
  <sheetData>
    <row r="1" spans="1:18" s="1" customFormat="1"/>
    <row r="2" spans="1:18">
      <c r="A2" t="s">
        <v>4</v>
      </c>
      <c r="E2" t="s">
        <v>0</v>
      </c>
      <c r="I2" t="s">
        <v>3</v>
      </c>
      <c r="M2" t="s">
        <v>5</v>
      </c>
      <c r="Q2" t="s">
        <v>8</v>
      </c>
    </row>
    <row r="3" spans="1:18">
      <c r="B3" t="s">
        <v>6</v>
      </c>
      <c r="C3" t="s">
        <v>2</v>
      </c>
      <c r="F3" t="s">
        <v>6</v>
      </c>
      <c r="G3" t="s">
        <v>2</v>
      </c>
      <c r="J3" t="s">
        <v>6</v>
      </c>
      <c r="K3" t="s">
        <v>2</v>
      </c>
      <c r="N3" t="s">
        <v>6</v>
      </c>
      <c r="O3" t="s">
        <v>2</v>
      </c>
      <c r="Q3" t="s">
        <v>2</v>
      </c>
      <c r="R3" t="s">
        <v>6</v>
      </c>
    </row>
    <row r="4" spans="1:18">
      <c r="A4" t="s">
        <v>1</v>
      </c>
      <c r="B4">
        <v>0.41899999999999998</v>
      </c>
      <c r="C4">
        <v>3.7999999999999999E-2</v>
      </c>
      <c r="E4" t="s">
        <v>1</v>
      </c>
      <c r="F4">
        <v>0.46100000000000002</v>
      </c>
      <c r="G4">
        <v>0.04</v>
      </c>
      <c r="I4" t="s">
        <v>1</v>
      </c>
      <c r="J4">
        <v>0.49399999999999999</v>
      </c>
      <c r="K4">
        <v>4.7E-2</v>
      </c>
      <c r="M4" t="s">
        <v>1</v>
      </c>
      <c r="N4">
        <v>0.58099999999999996</v>
      </c>
      <c r="O4">
        <v>5.7000000000000002E-2</v>
      </c>
      <c r="Q4">
        <v>0.28999999999999998</v>
      </c>
      <c r="R4">
        <v>3.36</v>
      </c>
    </row>
    <row r="5" spans="1:18">
      <c r="A5" t="s">
        <v>7</v>
      </c>
      <c r="B5">
        <v>5.7000000000000002E-2</v>
      </c>
      <c r="C5">
        <v>1.4E-2</v>
      </c>
      <c r="E5" t="s">
        <v>7</v>
      </c>
      <c r="F5">
        <v>6.0999999999999999E-2</v>
      </c>
      <c r="G5" s="3">
        <v>0.02</v>
      </c>
      <c r="H5" s="2"/>
      <c r="I5" t="s">
        <v>7</v>
      </c>
      <c r="J5">
        <v>7.6999999999999999E-2</v>
      </c>
      <c r="K5">
        <v>3.1E-2</v>
      </c>
      <c r="M5" t="s">
        <v>7</v>
      </c>
      <c r="N5">
        <v>9.8000000000000004E-2</v>
      </c>
      <c r="O5">
        <v>4.3999999999999997E-2</v>
      </c>
    </row>
    <row r="6" spans="1:18">
      <c r="A6" t="s">
        <v>1</v>
      </c>
      <c r="B6">
        <f>EXP(B4*$R$4/100)-1</f>
        <v>1.4177967374363165E-2</v>
      </c>
      <c r="C6">
        <f>EXP(C4*$Q$4)-1</f>
        <v>1.108094386138192E-2</v>
      </c>
      <c r="E6" t="s">
        <v>1</v>
      </c>
      <c r="F6">
        <f>F4*$R$4/100</f>
        <v>1.5489600000000001E-2</v>
      </c>
      <c r="G6">
        <f>G4*$Q$4</f>
        <v>1.1599999999999999E-2</v>
      </c>
      <c r="I6" t="s">
        <v>1</v>
      </c>
      <c r="J6">
        <f>J4*$R$4/100</f>
        <v>1.6598399999999999E-2</v>
      </c>
      <c r="K6">
        <f>K4*$Q$4</f>
        <v>1.363E-2</v>
      </c>
      <c r="M6" t="s">
        <v>1</v>
      </c>
      <c r="N6">
        <f>N4*$R$4/100</f>
        <v>1.95216E-2</v>
      </c>
      <c r="O6">
        <f>O4*$Q$4</f>
        <v>1.653E-2</v>
      </c>
    </row>
    <row r="7" spans="1:18">
      <c r="A7" t="s">
        <v>7</v>
      </c>
      <c r="B7">
        <f>B5*$R$4*1.65/100</f>
        <v>3.1600799999999996E-3</v>
      </c>
      <c r="C7">
        <f>C5*$Q$4*1.65</f>
        <v>6.6989999999999984E-3</v>
      </c>
      <c r="E7" t="s">
        <v>7</v>
      </c>
      <c r="F7">
        <f>F5*$R$4*1.65/100</f>
        <v>3.3818399999999992E-3</v>
      </c>
      <c r="G7">
        <f>G5*$Q$4*1.65</f>
        <v>9.5699999999999986E-3</v>
      </c>
      <c r="I7" t="s">
        <v>7</v>
      </c>
      <c r="J7">
        <f>J5*$R$4*1.65/100</f>
        <v>4.2688800000000001E-3</v>
      </c>
      <c r="K7">
        <f>K5*$Q$4*1.65</f>
        <v>1.4833499999999999E-2</v>
      </c>
      <c r="M7" t="s">
        <v>7</v>
      </c>
      <c r="N7">
        <f>N5*$R$4*1.65/100</f>
        <v>5.4331200000000005E-3</v>
      </c>
      <c r="O7">
        <f>O5*$Q$4*1.65</f>
        <v>2.1053999999999996E-2</v>
      </c>
    </row>
    <row r="9" spans="1:18">
      <c r="A9" t="s">
        <v>4</v>
      </c>
      <c r="E9" t="s">
        <v>0</v>
      </c>
      <c r="I9" t="s">
        <v>3</v>
      </c>
      <c r="M9" t="s">
        <v>5</v>
      </c>
    </row>
    <row r="10" spans="1:18">
      <c r="B10" t="s">
        <v>6</v>
      </c>
      <c r="C10" t="s">
        <v>2</v>
      </c>
      <c r="F10" t="s">
        <v>6</v>
      </c>
      <c r="G10" t="s">
        <v>2</v>
      </c>
      <c r="J10" t="s">
        <v>6</v>
      </c>
      <c r="K10" t="s">
        <v>2</v>
      </c>
      <c r="N10" t="s">
        <v>6</v>
      </c>
      <c r="O10" t="s">
        <v>2</v>
      </c>
    </row>
    <row r="11" spans="1:18">
      <c r="A11" t="s">
        <v>1</v>
      </c>
      <c r="B11">
        <v>0.23799999999999999</v>
      </c>
      <c r="C11">
        <v>1.6E-2</v>
      </c>
      <c r="E11" t="s">
        <v>1</v>
      </c>
      <c r="F11">
        <v>0.26</v>
      </c>
      <c r="G11">
        <v>2.1000000000000001E-2</v>
      </c>
      <c r="I11" t="s">
        <v>1</v>
      </c>
      <c r="J11" s="4">
        <v>0.28100000000000003</v>
      </c>
      <c r="K11" s="4">
        <v>2.4E-2</v>
      </c>
      <c r="L11">
        <v>2.7E-2</v>
      </c>
      <c r="M11" t="s">
        <v>1</v>
      </c>
      <c r="N11">
        <v>0.33100000000000002</v>
      </c>
      <c r="O11">
        <v>3.1E-2</v>
      </c>
      <c r="Q11">
        <v>0.56000000000000005</v>
      </c>
      <c r="R11">
        <v>5.89</v>
      </c>
    </row>
    <row r="12" spans="1:18">
      <c r="A12" t="s">
        <v>7</v>
      </c>
      <c r="B12">
        <v>3.2000000000000001E-2</v>
      </c>
      <c r="C12">
        <v>8.0000000000000002E-3</v>
      </c>
      <c r="E12" t="s">
        <v>7</v>
      </c>
      <c r="F12">
        <v>3.4000000000000002E-2</v>
      </c>
      <c r="G12">
        <v>1.2999999999999999E-2</v>
      </c>
      <c r="I12" t="s">
        <v>7</v>
      </c>
      <c r="J12" s="4">
        <v>4.2999999999999997E-2</v>
      </c>
      <c r="K12" s="5">
        <v>1.7999999999999999E-2</v>
      </c>
      <c r="L12" s="2">
        <v>1.9E-2</v>
      </c>
      <c r="M12" t="s">
        <v>7</v>
      </c>
      <c r="N12">
        <v>5.5E-2</v>
      </c>
      <c r="O12">
        <v>2.5999999999999999E-2</v>
      </c>
    </row>
    <row r="13" spans="1:18">
      <c r="A13" t="s">
        <v>1</v>
      </c>
      <c r="B13">
        <f>B11*$R$11/100</f>
        <v>1.4018199999999998E-2</v>
      </c>
      <c r="C13">
        <f>C11*$Q$11</f>
        <v>8.9600000000000009E-3</v>
      </c>
      <c r="E13" t="s">
        <v>1</v>
      </c>
      <c r="F13">
        <f>F11*$R$11/100</f>
        <v>1.5313999999999999E-2</v>
      </c>
      <c r="G13">
        <f>G11*$Q$11</f>
        <v>1.1760000000000001E-2</v>
      </c>
      <c r="I13" t="s">
        <v>1</v>
      </c>
      <c r="J13">
        <f>J11*$R$11/100</f>
        <v>1.65509E-2</v>
      </c>
      <c r="K13">
        <f>K11*$Q$11</f>
        <v>1.3440000000000002E-2</v>
      </c>
      <c r="L13">
        <f>L11*$Q$11</f>
        <v>1.5120000000000001E-2</v>
      </c>
      <c r="M13" t="s">
        <v>1</v>
      </c>
      <c r="N13">
        <f>N11*$R$11/100</f>
        <v>1.94959E-2</v>
      </c>
      <c r="O13">
        <f>O11*$Q$11</f>
        <v>1.736E-2</v>
      </c>
    </row>
    <row r="14" spans="1:18">
      <c r="A14" t="s">
        <v>7</v>
      </c>
      <c r="B14">
        <f>B12*$R$11*1.65/100</f>
        <v>3.1099199999999995E-3</v>
      </c>
      <c r="C14">
        <f>C12*$Q$11*1.65</f>
        <v>7.3920000000000001E-3</v>
      </c>
      <c r="E14" t="s">
        <v>7</v>
      </c>
      <c r="F14">
        <f>F12*$R$11*1.65/100</f>
        <v>3.3042899999999997E-3</v>
      </c>
      <c r="G14">
        <f>G12*$Q$11*1.65</f>
        <v>1.2012E-2</v>
      </c>
      <c r="I14" t="s">
        <v>7</v>
      </c>
      <c r="J14">
        <f>J12*$R$11*1.65/100</f>
        <v>4.178954999999999E-3</v>
      </c>
      <c r="K14">
        <f>K12*$Q$11*1.65</f>
        <v>1.6632000000000001E-2</v>
      </c>
      <c r="L14">
        <f>L12*$Q$11*1.65</f>
        <v>1.7555999999999999E-2</v>
      </c>
      <c r="M14" t="s">
        <v>7</v>
      </c>
      <c r="N14">
        <f>N12*$R$11*1.65/100</f>
        <v>5.3451749999999989E-3</v>
      </c>
      <c r="O14">
        <f>O12*$Q$11*1.65</f>
        <v>2.4024E-2</v>
      </c>
    </row>
  </sheetData>
  <pageMargins left="0.7" right="0.7" top="0.75" bottom="0.75" header="0.3" footer="0.3"/>
  <pageSetup scale="56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format5</vt:lpstr>
      <vt:lpstr>format5!Print_Area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Canyao Liu</dc:creator>
  <cp:lastModifiedBy>Leslie Sheng Shen</cp:lastModifiedBy>
  <cp:lastPrinted>2023-02-07T23:01:59Z</cp:lastPrinted>
  <dcterms:created xsi:type="dcterms:W3CDTF">2017-08-21T03:24:03Z</dcterms:created>
  <dcterms:modified xsi:type="dcterms:W3CDTF">2023-02-07T23:03:01Z</dcterms:modified>
</cp:coreProperties>
</file>